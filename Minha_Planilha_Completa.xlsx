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Ficha Técnica e Custos" sheetId="1" state="visible" r:id="rId1"/>
    <sheet name="2. Controle de Vendas" sheetId="2" state="visible" r:id="rId2"/>
    <sheet name="3. Dashboard Vi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4A2E2B"/>
      <sz val="15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4A2E2B"/>
      <sz val="11"/>
    </font>
    <font>
      <name val="Arial"/>
      <sz val="11"/>
    </font>
    <font>
      <name val="Arial"/>
      <b val="1"/>
      <color rgb="002E5A27"/>
      <sz val="11"/>
    </font>
  </fonts>
  <fills count="6">
    <fill>
      <patternFill/>
    </fill>
    <fill>
      <patternFill patternType="gray125"/>
    </fill>
    <fill>
      <patternFill patternType="solid">
        <fgColor rgb="004A2E2B"/>
        <bgColor rgb="004A2E2B"/>
      </patternFill>
    </fill>
    <fill>
      <patternFill patternType="solid">
        <fgColor rgb="00F9F6F0"/>
        <bgColor rgb="00F9F6F0"/>
      </patternFill>
    </fill>
    <fill>
      <patternFill patternType="solid">
        <fgColor rgb="00D9C3B0"/>
        <bgColor rgb="00D9C3B0"/>
      </patternFill>
    </fill>
    <fill>
      <patternFill patternType="solid">
        <fgColor rgb="00E8F0E6"/>
        <bgColor rgb="00E8F0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  <xf numFmtId="164" fontId="3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0" fontId="3" fillId="4" borderId="0" pivotButton="0" quotePrefix="0" xfId="0"/>
    <xf numFmtId="164" fontId="3" fillId="4" borderId="0" pivotButton="0" quotePrefix="0" xfId="0"/>
    <xf numFmtId="0" fontId="3" fillId="5" borderId="0" pivotButton="0" quotePrefix="0" xfId="0"/>
    <xf numFmtId="164" fontId="6" fillId="5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4" fontId="3" fillId="4" borderId="1" pivotButton="0" quotePrefix="0" xfId="0"/>
    <xf numFmtId="164" fontId="6" fillId="5" borderId="1" pivotButton="0" quotePrefix="0" xfId="0"/>
    <xf numFmtId="0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Faturamento vs Custo vs Lucro Real (Julho)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Dashboard Visual'!B4</f>
            </strRef>
          </tx>
          <spPr>
            <a:ln>
              <a:prstDash val="solid"/>
            </a:ln>
          </spPr>
          <cat>
            <numRef>
              <f>'3. Dashboard Visual'!$A$5:$A$7</f>
            </numRef>
          </cat>
          <val>
            <numRef>
              <f>'3. Dashboard Visual'!$B$5:$B$7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Indicadores Financeiros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9" customWidth="1" min="3" max="3"/>
    <col width="28" customWidth="1" min="4" max="4"/>
    <col width="20" customWidth="1" min="5" max="5"/>
    <col width="12" customWidth="1" min="6" max="6"/>
    <col width="31" customWidth="1" min="7" max="7"/>
    <col width="12" customWidth="1" min="8" max="8"/>
    <col width="20" customWidth="1" min="9" max="9"/>
  </cols>
  <sheetData>
    <row r="1">
      <c r="A1" s="1" t="inlineStr">
        <is>
          <t>🍰 FICHA TÉCNICA E CUSTO AUTOMÁTICO (250g)</t>
        </is>
      </c>
    </row>
    <row r="2"/>
    <row r="3"/>
    <row r="4">
      <c r="A4" s="2" t="inlineStr">
        <is>
          <t>Ingrediente / Etapa</t>
        </is>
      </c>
      <c r="B4" s="2" t="inlineStr">
        <is>
          <t>Embalagem</t>
        </is>
      </c>
      <c r="C4" s="2" t="inlineStr">
        <is>
          <t>Preço Pago (R$)</t>
        </is>
      </c>
      <c r="D4" s="2" t="inlineStr">
        <is>
          <t>Uso na Receita</t>
        </is>
      </c>
      <c r="E4" s="2" t="inlineStr">
        <is>
          <t>Custo (R$)</t>
        </is>
      </c>
      <c r="G4" s="3" t="inlineStr">
        <is>
          <t>💡 RESUMO FINAL POR POTINHO</t>
        </is>
      </c>
    </row>
    <row r="5">
      <c r="A5" s="4" t="inlineStr">
        <is>
          <t>Farinha de Trigo</t>
        </is>
      </c>
      <c r="B5" s="5" t="inlineStr">
        <is>
          <t>1000g</t>
        </is>
      </c>
      <c r="C5" s="6" t="n">
        <v>5.75</v>
      </c>
      <c r="D5" s="5" t="inlineStr">
        <is>
          <t>360g</t>
        </is>
      </c>
      <c r="E5" s="6">
        <f>C5*(360/1000)</f>
        <v/>
      </c>
      <c r="G5" s="7" t="inlineStr">
        <is>
          <t>Soma Custo Direto:</t>
        </is>
      </c>
      <c r="I5" s="8">
        <f>E11+E17+E18+E19</f>
        <v/>
      </c>
    </row>
    <row r="6">
      <c r="A6" s="9" t="inlineStr">
        <is>
          <t>Açúcar</t>
        </is>
      </c>
      <c r="B6" s="10" t="inlineStr">
        <is>
          <t>1000g</t>
        </is>
      </c>
      <c r="C6" s="11" t="n">
        <v>4</v>
      </c>
      <c r="D6" s="10" t="inlineStr">
        <is>
          <t>240g</t>
        </is>
      </c>
      <c r="E6" s="11">
        <f>C6*(240/1000)</f>
        <v/>
      </c>
      <c r="G6" s="7" t="inlineStr">
        <is>
          <t>+ Gás/Luz/Invisíveis (10%):</t>
        </is>
      </c>
      <c r="I6" s="8">
        <f>I5*0.1</f>
        <v/>
      </c>
    </row>
    <row r="7">
      <c r="A7" s="4" t="inlineStr">
        <is>
          <t>Margarina</t>
        </is>
      </c>
      <c r="B7" s="5" t="inlineStr">
        <is>
          <t>250g</t>
        </is>
      </c>
      <c r="C7" s="6" t="n">
        <v>2.99</v>
      </c>
      <c r="D7" s="5" t="inlineStr">
        <is>
          <t>100g</t>
        </is>
      </c>
      <c r="E7" s="6">
        <f>C7*(100/250)</f>
        <v/>
      </c>
      <c r="G7" s="12" t="inlineStr">
        <is>
          <t>🔥 CUSTO TOTAL:</t>
        </is>
      </c>
      <c r="I7" s="13">
        <f>I5+I6</f>
        <v/>
      </c>
    </row>
    <row r="8">
      <c r="A8" s="9" t="inlineStr">
        <is>
          <t>Leite Líquido</t>
        </is>
      </c>
      <c r="B8" s="10" t="inlineStr">
        <is>
          <t>1000ml</t>
        </is>
      </c>
      <c r="C8" s="11" t="n">
        <v>7</v>
      </c>
      <c r="D8" s="10" t="inlineStr">
        <is>
          <t>300ml</t>
        </is>
      </c>
      <c r="E8" s="11">
        <f>C8*(300/1000)</f>
        <v/>
      </c>
      <c r="G8" s="14" t="inlineStr">
        <is>
          <t>Lucro Venda R$ 12,00:</t>
        </is>
      </c>
      <c r="I8" s="15">
        <f>12-I7</f>
        <v/>
      </c>
    </row>
    <row r="9">
      <c r="A9" s="4" t="inlineStr">
        <is>
          <t>Fermento em Pó</t>
        </is>
      </c>
      <c r="B9" s="5" t="inlineStr">
        <is>
          <t>100g</t>
        </is>
      </c>
      <c r="C9" s="6" t="n">
        <v>3.75</v>
      </c>
      <c r="D9" s="5" t="inlineStr">
        <is>
          <t>10g</t>
        </is>
      </c>
      <c r="E9" s="6">
        <f>C9*(10/100)</f>
        <v/>
      </c>
      <c r="G9" s="14" t="inlineStr">
        <is>
          <t>Lucro Venda R$ 13,00:</t>
        </is>
      </c>
      <c r="I9" s="15">
        <f>13-I7</f>
        <v/>
      </c>
    </row>
    <row r="10">
      <c r="A10" s="9" t="inlineStr">
        <is>
          <t>Ovos</t>
        </is>
      </c>
      <c r="B10" s="10" t="inlineStr">
        <is>
          <t>1 un</t>
        </is>
      </c>
      <c r="C10" s="11" t="n">
        <v>0.6</v>
      </c>
      <c r="D10" s="10" t="inlineStr">
        <is>
          <t>3 un</t>
        </is>
      </c>
      <c r="E10" s="11">
        <f>C10*3</f>
        <v/>
      </c>
    </row>
    <row r="11">
      <c r="A11" s="16" t="inlineStr">
        <is>
          <t>👉 CUSTO DA MASSA (POR BOLO)</t>
        </is>
      </c>
      <c r="B11" s="17" t="inlineStr"/>
      <c r="C11" s="16" t="inlineStr"/>
      <c r="D11" s="17" t="inlineStr">
        <is>
          <t>1 un (1/21 da massa)</t>
        </is>
      </c>
      <c r="E11" s="18">
        <f>SUM(E5:E10)/21</f>
        <v/>
      </c>
    </row>
    <row r="12">
      <c r="A12" s="9" t="inlineStr">
        <is>
          <t>Leite Condensado (3 caixas)</t>
        </is>
      </c>
      <c r="B12" s="10" t="inlineStr">
        <is>
          <t>395g</t>
        </is>
      </c>
      <c r="C12" s="11" t="n">
        <v>18.75</v>
      </c>
      <c r="D12" s="10" t="inlineStr">
        <is>
          <t>3 caixas</t>
        </is>
      </c>
      <c r="E12" s="11">
        <f>C12</f>
        <v/>
      </c>
    </row>
    <row r="13">
      <c r="A13" s="4" t="inlineStr">
        <is>
          <t>Creme de Leite (3 caixas)</t>
        </is>
      </c>
      <c r="B13" s="5" t="inlineStr">
        <is>
          <t>200g</t>
        </is>
      </c>
      <c r="C13" s="6" t="n">
        <v>9.75</v>
      </c>
      <c r="D13" s="5" t="inlineStr">
        <is>
          <t>3 caixas</t>
        </is>
      </c>
      <c r="E13" s="6">
        <f>C13</f>
        <v/>
      </c>
    </row>
    <row r="14">
      <c r="A14" s="9" t="inlineStr">
        <is>
          <t>Chocolate em Pó 50%</t>
        </is>
      </c>
      <c r="B14" s="10" t="inlineStr">
        <is>
          <t>1000g</t>
        </is>
      </c>
      <c r="C14" s="11" t="n">
        <v>55</v>
      </c>
      <c r="D14" s="10" t="inlineStr">
        <is>
          <t>45g</t>
        </is>
      </c>
      <c r="E14" s="11">
        <f>C14*(45/1000)</f>
        <v/>
      </c>
    </row>
    <row r="15">
      <c r="A15" s="4" t="inlineStr">
        <is>
          <t>Coco Ralado</t>
        </is>
      </c>
      <c r="B15" s="5" t="inlineStr">
        <is>
          <t>50g</t>
        </is>
      </c>
      <c r="C15" s="6" t="n">
        <v>3.99</v>
      </c>
      <c r="D15" s="5" t="inlineStr">
        <is>
          <t>50g</t>
        </is>
      </c>
      <c r="E15" s="6">
        <f>C15</f>
        <v/>
      </c>
    </row>
    <row r="16">
      <c r="A16" s="9" t="inlineStr">
        <is>
          <t>Leite em Pó</t>
        </is>
      </c>
      <c r="B16" s="10" t="inlineStr">
        <is>
          <t>200g</t>
        </is>
      </c>
      <c r="C16" s="11" t="n">
        <v>7.75</v>
      </c>
      <c r="D16" s="10" t="inlineStr">
        <is>
          <t>30g</t>
        </is>
      </c>
      <c r="E16" s="11">
        <f>C16*(30/200)</f>
        <v/>
      </c>
    </row>
    <row r="17">
      <c r="A17" s="16" t="inlineStr">
        <is>
          <t>👉 CUSTO DO RECHEIO (POR BOLO)</t>
        </is>
      </c>
      <c r="B17" s="17" t="inlineStr"/>
      <c r="C17" s="16" t="inlineStr"/>
      <c r="D17" s="17" t="inlineStr">
        <is>
          <t>1 un (1/11 dos recheios)</t>
        </is>
      </c>
      <c r="E17" s="18">
        <f>SUM(E12:E16)/11</f>
        <v/>
      </c>
    </row>
    <row r="18">
      <c r="A18" s="9" t="inlineStr">
        <is>
          <t>Calda de Refrigerante</t>
        </is>
      </c>
      <c r="B18" s="10" t="inlineStr">
        <is>
          <t>Garrafa</t>
        </is>
      </c>
      <c r="C18" s="11" t="n">
        <v>12.5</v>
      </c>
      <c r="D18" s="10" t="inlineStr">
        <is>
          <t>Porção (~1/50)</t>
        </is>
      </c>
      <c r="E18" s="11">
        <f>C18/50</f>
        <v/>
      </c>
    </row>
    <row r="19">
      <c r="A19" s="4" t="inlineStr">
        <is>
          <t>Kit Embalagem + Delivery</t>
        </is>
      </c>
      <c r="B19" s="5" t="inlineStr">
        <is>
          <t>Kit</t>
        </is>
      </c>
      <c r="C19" s="6" t="n">
        <v>0.9</v>
      </c>
      <c r="D19" s="5" t="inlineStr">
        <is>
          <t>1 kit</t>
        </is>
      </c>
      <c r="E19" s="6">
        <f>C19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7" customWidth="1" min="3" max="3"/>
    <col width="16" customWidth="1" min="4" max="4"/>
    <col width="14" customWidth="1" min="5" max="5"/>
    <col width="16" customWidth="1" min="6" max="6"/>
    <col width="41" customWidth="1" min="7" max="7"/>
    <col width="20" customWidth="1" min="8" max="8"/>
  </cols>
  <sheetData>
    <row r="1">
      <c r="A1" s="1" t="inlineStr">
        <is>
          <t>📊 DIÁRIO DE VENDAS E REGISTRO DE PIX</t>
        </is>
      </c>
    </row>
    <row r="2"/>
    <row r="3"/>
    <row r="4">
      <c r="A4" s="2" t="inlineStr">
        <is>
          <t>Data</t>
        </is>
      </c>
      <c r="B4" s="2" t="inlineStr">
        <is>
          <t>Cliente</t>
        </is>
      </c>
      <c r="C4" s="2" t="inlineStr">
        <is>
          <t>Local</t>
        </is>
      </c>
      <c r="D4" s="2" t="inlineStr">
        <is>
          <t>Qtd</t>
        </is>
      </c>
      <c r="E4" s="2" t="inlineStr">
        <is>
          <t>Preço (R$)</t>
        </is>
      </c>
      <c r="F4" s="2" t="inlineStr">
        <is>
          <t>Total (R$)</t>
        </is>
      </c>
      <c r="G4" s="2" t="inlineStr">
        <is>
          <t>Custo (R$)</t>
        </is>
      </c>
      <c r="H4" s="2" t="inlineStr">
        <is>
          <t>LUCRO LIMPO (R$)</t>
        </is>
      </c>
    </row>
    <row r="5">
      <c r="A5" s="5" t="inlineStr">
        <is>
          <t>14/07/2026</t>
        </is>
      </c>
      <c r="B5" s="4" t="inlineStr">
        <is>
          <t>Andrea Rodrigues</t>
        </is>
      </c>
      <c r="C5" s="5" t="inlineStr">
        <is>
          <t>Casa</t>
        </is>
      </c>
      <c r="D5" s="5" t="n">
        <v>1</v>
      </c>
      <c r="E5" s="6" t="n">
        <v>12</v>
      </c>
      <c r="F5" s="6">
        <f>D5*E5</f>
        <v/>
      </c>
      <c r="G5" s="6">
        <f>D5*'1. Ficha Técnica e Custos'!$I$7</f>
        <v/>
      </c>
      <c r="H5" s="19">
        <f>F5-G5</f>
        <v/>
      </c>
    </row>
    <row r="6">
      <c r="A6" s="5" t="inlineStr">
        <is>
          <t>14/07/2026</t>
        </is>
      </c>
      <c r="B6" s="4" t="inlineStr">
        <is>
          <t>Maria Eduarda</t>
        </is>
      </c>
      <c r="C6" s="5" t="inlineStr">
        <is>
          <t>Casa</t>
        </is>
      </c>
      <c r="D6" s="5" t="n">
        <v>1</v>
      </c>
      <c r="E6" s="6" t="n">
        <v>12</v>
      </c>
      <c r="F6" s="6">
        <f>D6*E6</f>
        <v/>
      </c>
      <c r="G6" s="6">
        <f>D6*'1. Ficha Técnica e Custos'!$I$7</f>
        <v/>
      </c>
      <c r="H6" s="19">
        <f>F6-G6</f>
        <v/>
      </c>
    </row>
    <row r="7">
      <c r="A7" s="5" t="inlineStr">
        <is>
          <t>15/07/2026</t>
        </is>
      </c>
      <c r="B7" s="4" t="inlineStr">
        <is>
          <t>Marcus Wilker (Irmão)</t>
        </is>
      </c>
      <c r="C7" s="5" t="inlineStr">
        <is>
          <t>Trabalho</t>
        </is>
      </c>
      <c r="D7" s="5" t="n">
        <v>3</v>
      </c>
      <c r="E7" s="6" t="n">
        <v>13</v>
      </c>
      <c r="F7" s="6">
        <f>D7*E7</f>
        <v/>
      </c>
      <c r="G7" s="6">
        <f>D7*'1. Ficha Técnica e Custos'!$I$7</f>
        <v/>
      </c>
      <c r="H7" s="19">
        <f>F7-G7</f>
        <v/>
      </c>
    </row>
    <row r="8">
      <c r="A8" s="5" t="inlineStr">
        <is>
          <t>16/07/2026</t>
        </is>
      </c>
      <c r="B8" s="4" t="inlineStr">
        <is>
          <t>Kamilly Vitória</t>
        </is>
      </c>
      <c r="C8" s="5" t="inlineStr">
        <is>
          <t>Casa</t>
        </is>
      </c>
      <c r="D8" s="5" t="n">
        <v>1</v>
      </c>
      <c r="E8" s="6" t="n">
        <v>12</v>
      </c>
      <c r="F8" s="6">
        <f>D8*E8</f>
        <v/>
      </c>
      <c r="G8" s="6">
        <f>D8*'1. Ficha Técnica e Custos'!$I$7</f>
        <v/>
      </c>
      <c r="H8" s="19">
        <f>F8-G8</f>
        <v/>
      </c>
    </row>
    <row r="9">
      <c r="A9" s="5" t="inlineStr">
        <is>
          <t>17/07/2026</t>
        </is>
      </c>
      <c r="B9" s="4" t="inlineStr">
        <is>
          <t>Franklimilton</t>
        </is>
      </c>
      <c r="C9" s="5" t="inlineStr">
        <is>
          <t>Casa</t>
        </is>
      </c>
      <c r="D9" s="5" t="n">
        <v>1</v>
      </c>
      <c r="E9" s="6" t="n">
        <v>12</v>
      </c>
      <c r="F9" s="6">
        <f>D9*E9</f>
        <v/>
      </c>
      <c r="G9" s="6">
        <f>D9*'1. Ficha Técnica e Custos'!$I$7</f>
        <v/>
      </c>
      <c r="H9" s="19">
        <f>F9-G9</f>
        <v/>
      </c>
    </row>
    <row r="10">
      <c r="A10" s="5" t="inlineStr">
        <is>
          <t>19/07/2026</t>
        </is>
      </c>
      <c r="B10" s="4" t="inlineStr">
        <is>
          <t>Franklimilton</t>
        </is>
      </c>
      <c r="C10" s="5" t="inlineStr">
        <is>
          <t>Casa</t>
        </is>
      </c>
      <c r="D10" s="5" t="n">
        <v>2</v>
      </c>
      <c r="E10" s="6" t="n">
        <v>12</v>
      </c>
      <c r="F10" s="6">
        <f>D10*E10</f>
        <v/>
      </c>
      <c r="G10" s="6">
        <f>D10*'1. Ficha Técnica e Custos'!$I$7</f>
        <v/>
      </c>
      <c r="H10" s="19">
        <f>F10-G10</f>
        <v/>
      </c>
    </row>
    <row r="11">
      <c r="A11" s="5" t="inlineStr">
        <is>
          <t>20/07/2026</t>
        </is>
      </c>
      <c r="B11" s="4" t="inlineStr">
        <is>
          <t>Marcus Wilker (Irmão)</t>
        </is>
      </c>
      <c r="C11" s="5" t="inlineStr">
        <is>
          <t>Trabalho</t>
        </is>
      </c>
      <c r="D11" s="5" t="n">
        <v>4</v>
      </c>
      <c r="E11" s="6" t="n">
        <v>13</v>
      </c>
      <c r="F11" s="6">
        <f>D11*E11</f>
        <v/>
      </c>
      <c r="G11" s="6">
        <f>D11*'1. Ficha Técnica e Custos'!$I$7</f>
        <v/>
      </c>
      <c r="H11" s="19">
        <f>F11-G11</f>
        <v/>
      </c>
    </row>
    <row r="12">
      <c r="A12" s="5" t="inlineStr">
        <is>
          <t>20/07/2026</t>
        </is>
      </c>
      <c r="B12" s="4" t="inlineStr">
        <is>
          <t>Marcus Wilker (Irmão)</t>
        </is>
      </c>
      <c r="C12" s="5" t="inlineStr">
        <is>
          <t>Trabalho</t>
        </is>
      </c>
      <c r="D12" s="5" t="n">
        <v>5</v>
      </c>
      <c r="E12" s="6" t="n">
        <v>13</v>
      </c>
      <c r="F12" s="6">
        <f>D12*E12</f>
        <v/>
      </c>
      <c r="G12" s="6">
        <f>D12*'1. Ficha Técnica e Custos'!$I$7</f>
        <v/>
      </c>
      <c r="H12" s="19">
        <f>F12-G12</f>
        <v/>
      </c>
    </row>
    <row r="13">
      <c r="C13" s="20" t="inlineStr">
        <is>
          <t>TOTAL DO MÊS:</t>
        </is>
      </c>
      <c r="D13" s="20">
        <f>SUM(D5:D12)</f>
        <v/>
      </c>
      <c r="F13" s="8">
        <f>SUM(F5:F12)</f>
        <v/>
      </c>
      <c r="G13" s="8">
        <f>SUM(G5:G12)</f>
        <v/>
      </c>
      <c r="H13" s="15">
        <f>SUM(H5:H12)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48" customWidth="1" min="3" max="3"/>
  </cols>
  <sheetData>
    <row r="1">
      <c r="A1" s="1" t="inlineStr">
        <is>
          <t>📈 DASHBOARD DE DESEMPENHO E GRÁFICOS</t>
        </is>
      </c>
    </row>
    <row r="2"/>
    <row r="3"/>
    <row r="4">
      <c r="A4" s="2" t="inlineStr">
        <is>
          <t>Indicador</t>
        </is>
      </c>
      <c r="B4" s="2" t="inlineStr">
        <is>
          <t>Valor (R$)</t>
        </is>
      </c>
      <c r="C4" s="2" t="inlineStr">
        <is>
          <t>Descrição</t>
        </is>
      </c>
    </row>
    <row r="5">
      <c r="A5" s="21" t="inlineStr">
        <is>
          <t>Faturamento Total de Vendas</t>
        </is>
      </c>
      <c r="B5" s="22">
        <f>'2. Controle de Vendas'!F13</f>
        <v/>
      </c>
      <c r="C5" s="4" t="inlineStr">
        <is>
          <t>Soma de todas as vendas do mês</t>
        </is>
      </c>
    </row>
    <row r="6">
      <c r="A6" s="21" t="inlineStr">
        <is>
          <t>Custo Total de Produção Usado</t>
        </is>
      </c>
      <c r="B6" s="22">
        <f>'2. Controle de Vendas'!G13</f>
        <v/>
      </c>
      <c r="C6" s="4" t="inlineStr">
        <is>
          <t>Custo das matérias-primas e potes consumidos</t>
        </is>
      </c>
    </row>
    <row r="7">
      <c r="A7" s="23" t="inlineStr">
        <is>
          <t>LUCRO LIMPO REAL</t>
        </is>
      </c>
      <c r="B7" s="19">
        <f>'2. Controle de Vendas'!H13</f>
        <v/>
      </c>
      <c r="C7" s="24" t="inlineStr">
        <is>
          <t>Dinheiro limpo no seu bolso!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2026-07-21T23:18:28Z</dcterms:created>
  <dcterms:modified xsi:type="dcterms:W3CDTF">2026-07-21T23:18:28Z</dcterms:modified>
</cp:coreProperties>
</file>